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sar\Documents\Kicad\10.0\projects\LED_REV1\"/>
    </mc:Choice>
  </mc:AlternateContent>
  <xr:revisionPtr revIDLastSave="0" documentId="13_ncr:1_{2303C5C2-5260-4742-BB0C-69E99C9FA02B}" xr6:coauthVersionLast="47" xr6:coauthVersionMax="47" xr10:uidLastSave="{00000000-0000-0000-0000-000000000000}"/>
  <bookViews>
    <workbookView xWindow="-28920" yWindow="-900" windowWidth="29040" windowHeight="15720" xr2:uid="{54113291-CB53-41D6-A15E-904451B1B80B}"/>
  </bookViews>
  <sheets>
    <sheet name="REV1" sheetId="3" r:id="rId1"/>
    <sheet name="CSV貼付け用" sheetId="2" r:id="rId2"/>
  </sheets>
  <definedNames>
    <definedName name="_xlnm._FilterDatabase" localSheetId="0" hidden="1">'REV1'!$A$4:$U$23</definedName>
    <definedName name="_xlnm.Print_Area" localSheetId="0">'REV1'!$A$1:$M$24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0" i="3" l="1"/>
  <c r="M21" i="3"/>
  <c r="M20" i="3"/>
  <c r="M19" i="3"/>
  <c r="M15" i="3"/>
  <c r="M22" i="3"/>
  <c r="M18" i="3"/>
  <c r="M17" i="3"/>
  <c r="M16" i="3"/>
  <c r="M12" i="3"/>
  <c r="M11" i="3"/>
  <c r="M9" i="3"/>
  <c r="M8" i="3"/>
  <c r="M6" i="3"/>
  <c r="M5" i="3"/>
</calcChain>
</file>

<file path=xl/sharedStrings.xml><?xml version="1.0" encoding="utf-8"?>
<sst xmlns="http://schemas.openxmlformats.org/spreadsheetml/2006/main" count="133" uniqueCount="84">
  <si>
    <t>1u</t>
  </si>
  <si>
    <t>XXX</t>
  </si>
  <si>
    <t>1k</t>
  </si>
  <si>
    <t>JST</t>
  </si>
  <si>
    <t>SW1</t>
  </si>
  <si>
    <t>Qty</t>
  </si>
  <si>
    <t>Value</t>
  </si>
  <si>
    <t>Footprint</t>
  </si>
  <si>
    <t>Datasheet</t>
  </si>
  <si>
    <t>LED1</t>
  </si>
  <si>
    <t>Reference</t>
  </si>
  <si>
    <t>DNP</t>
  </si>
  <si>
    <t>Exclude from BOM</t>
  </si>
  <si>
    <t>Exclude from Board</t>
  </si>
  <si>
    <t>C1</t>
  </si>
  <si>
    <t>0_User_Parts:C2012</t>
  </si>
  <si>
    <t>J1</t>
  </si>
  <si>
    <t>BM03B-GHS-TBT</t>
  </si>
  <si>
    <t>0_User_Parts:BM03B-GHS-TBT</t>
  </si>
  <si>
    <t>LTST-C230TBKT</t>
  </si>
  <si>
    <t>0_User_Parts:CHIP_LED_3216</t>
  </si>
  <si>
    <t>Lite-On</t>
  </si>
  <si>
    <t>Q1</t>
  </si>
  <si>
    <t>DTC114EKAT146</t>
  </si>
  <si>
    <t>0_Library_XX:DTC114EKA</t>
  </si>
  <si>
    <t>ROHM</t>
  </si>
  <si>
    <t>R1</t>
  </si>
  <si>
    <t>0_User_Parts:R2012</t>
  </si>
  <si>
    <t>R2</t>
  </si>
  <si>
    <t>10k</t>
  </si>
  <si>
    <t>DTS-63-N-V-BLU</t>
  </si>
  <si>
    <t>0_User_Parts:DTS-63-N-V-BLU(TS-0606-F-N-BLU)</t>
  </si>
  <si>
    <t>Cosland Co,. Ltd.</t>
  </si>
  <si>
    <t>製造台数</t>
    <rPh sb="0" eb="2">
      <t>セイゾウ</t>
    </rPh>
    <rPh sb="2" eb="4">
      <t>ダイスウ</t>
    </rPh>
    <phoneticPr fontId="4"/>
  </si>
  <si>
    <t>項</t>
    <rPh sb="0" eb="1">
      <t>コウ</t>
    </rPh>
    <phoneticPr fontId="4"/>
  </si>
  <si>
    <t>階層</t>
    <rPh sb="0" eb="2">
      <t>カイソウ</t>
    </rPh>
    <phoneticPr fontId="4"/>
  </si>
  <si>
    <t>項目</t>
    <rPh sb="0" eb="2">
      <t>コウモク</t>
    </rPh>
    <phoneticPr fontId="4"/>
  </si>
  <si>
    <t>Ref</t>
  </si>
  <si>
    <t>型番</t>
  </si>
  <si>
    <t>メーカ</t>
    <phoneticPr fontId="4"/>
  </si>
  <si>
    <t>定数</t>
  </si>
  <si>
    <t>Size</t>
    <phoneticPr fontId="4"/>
  </si>
  <si>
    <t xml:space="preserve"> Q</t>
    <phoneticPr fontId="4"/>
  </si>
  <si>
    <t>Sum</t>
    <phoneticPr fontId="4"/>
  </si>
  <si>
    <t>チェック</t>
    <phoneticPr fontId="4"/>
  </si>
  <si>
    <t>必要数</t>
    <rPh sb="0" eb="2">
      <t>ヒツヨウ</t>
    </rPh>
    <rPh sb="2" eb="3">
      <t>スウ</t>
    </rPh>
    <phoneticPr fontId="4"/>
  </si>
  <si>
    <t>備考</t>
    <rPh sb="0" eb="2">
      <t>ビコウ</t>
    </rPh>
    <phoneticPr fontId="4"/>
  </si>
  <si>
    <t>業者</t>
    <rPh sb="0" eb="2">
      <t>ギョウシャ</t>
    </rPh>
    <phoneticPr fontId="4"/>
  </si>
  <si>
    <t>単価</t>
    <rPh sb="0" eb="2">
      <t>タンカ</t>
    </rPh>
    <phoneticPr fontId="4"/>
  </si>
  <si>
    <t>小計</t>
    <rPh sb="0" eb="2">
      <t>ショウケイ</t>
    </rPh>
    <phoneticPr fontId="4"/>
  </si>
  <si>
    <t>手配日</t>
    <rPh sb="0" eb="2">
      <t>テハイ</t>
    </rPh>
    <rPh sb="2" eb="3">
      <t>ビ</t>
    </rPh>
    <phoneticPr fontId="4"/>
  </si>
  <si>
    <t>納入日</t>
    <rPh sb="0" eb="2">
      <t>ノウニュウ</t>
    </rPh>
    <rPh sb="2" eb="3">
      <t>ヒ</t>
    </rPh>
    <phoneticPr fontId="4"/>
  </si>
  <si>
    <t>機構部品</t>
    <rPh sb="0" eb="2">
      <t>キコウ</t>
    </rPh>
    <rPh sb="2" eb="4">
      <t>ブヒン</t>
    </rPh>
    <phoneticPr fontId="4"/>
  </si>
  <si>
    <t>□</t>
    <phoneticPr fontId="4"/>
  </si>
  <si>
    <t>基板ASSY</t>
    <rPh sb="0" eb="2">
      <t>キバン</t>
    </rPh>
    <phoneticPr fontId="4"/>
  </si>
  <si>
    <t>ケース</t>
    <phoneticPr fontId="4"/>
  </si>
  <si>
    <t>タカチケース</t>
    <phoneticPr fontId="4"/>
  </si>
  <si>
    <t>ー</t>
    <phoneticPr fontId="4"/>
  </si>
  <si>
    <t>スペーサー</t>
    <phoneticPr fontId="4"/>
  </si>
  <si>
    <t>廣杉計器</t>
    <rPh sb="0" eb="2">
      <t>ヒロスギ</t>
    </rPh>
    <rPh sb="2" eb="4">
      <t>ケイキ</t>
    </rPh>
    <phoneticPr fontId="4"/>
  </si>
  <si>
    <t>日本圧着端子製造株式会社</t>
    <rPh sb="0" eb="2">
      <t>ニホン</t>
    </rPh>
    <rPh sb="2" eb="4">
      <t>アッチャク</t>
    </rPh>
    <rPh sb="4" eb="6">
      <t>タンシ</t>
    </rPh>
    <rPh sb="6" eb="8">
      <t>セイゾウ</t>
    </rPh>
    <rPh sb="8" eb="12">
      <t>カブシキガイシャ</t>
    </rPh>
    <phoneticPr fontId="4"/>
  </si>
  <si>
    <t>基板材料</t>
    <rPh sb="0" eb="2">
      <t>キバン</t>
    </rPh>
    <rPh sb="2" eb="4">
      <t>ザイリョウ</t>
    </rPh>
    <phoneticPr fontId="4"/>
  </si>
  <si>
    <t>FR-4_両面</t>
    <rPh sb="5" eb="7">
      <t>リョウメン</t>
    </rPh>
    <phoneticPr fontId="4"/>
  </si>
  <si>
    <t>JLCPCB</t>
    <phoneticPr fontId="4"/>
  </si>
  <si>
    <t>チップコンデンサ</t>
    <phoneticPr fontId="4"/>
  </si>
  <si>
    <t>LED</t>
    <phoneticPr fontId="4"/>
  </si>
  <si>
    <t>LED部品表_REV1</t>
    <rPh sb="3" eb="5">
      <t>ブヒン</t>
    </rPh>
    <rPh sb="5" eb="6">
      <t>ヒョウ</t>
    </rPh>
    <phoneticPr fontId="4"/>
  </si>
  <si>
    <t>LED_基板ASSY</t>
    <rPh sb="4" eb="6">
      <t>キバン</t>
    </rPh>
    <phoneticPr fontId="4"/>
  </si>
  <si>
    <t>LED_機構部品一式</t>
    <rPh sb="4" eb="6">
      <t>キコウ</t>
    </rPh>
    <rPh sb="6" eb="8">
      <t>ブヒン</t>
    </rPh>
    <rPh sb="8" eb="10">
      <t>イッシキ</t>
    </rPh>
    <phoneticPr fontId="4"/>
  </si>
  <si>
    <t>LED_基板ASSY</t>
    <phoneticPr fontId="4"/>
  </si>
  <si>
    <t>基板実装費用</t>
    <rPh sb="0" eb="2">
      <t>キバン</t>
    </rPh>
    <rPh sb="2" eb="4">
      <t>ジッソウ</t>
    </rPh>
    <rPh sb="4" eb="6">
      <t>ヒヨウ</t>
    </rPh>
    <phoneticPr fontId="4"/>
  </si>
  <si>
    <t>AS-3012</t>
    <phoneticPr fontId="4"/>
  </si>
  <si>
    <t>M3×8なべねじ＋SW,FW</t>
    <phoneticPr fontId="1"/>
  </si>
  <si>
    <t>1u</t>
    <phoneticPr fontId="1"/>
  </si>
  <si>
    <t>チップLED</t>
    <phoneticPr fontId="1"/>
  </si>
  <si>
    <t>デジタルトランジスタ</t>
    <phoneticPr fontId="1"/>
  </si>
  <si>
    <t>チップ抵抗</t>
    <rPh sb="3" eb="5">
      <t>テイコウ</t>
    </rPh>
    <phoneticPr fontId="1"/>
  </si>
  <si>
    <t>タクトスイッチ</t>
    <phoneticPr fontId="1"/>
  </si>
  <si>
    <t>BM03B-GHS-TBT</t>
    <phoneticPr fontId="1"/>
  </si>
  <si>
    <t>GHヘッダ</t>
    <phoneticPr fontId="1"/>
  </si>
  <si>
    <t>GHハウジング</t>
    <phoneticPr fontId="4"/>
  </si>
  <si>
    <t>GHR-03V-S</t>
    <phoneticPr fontId="4"/>
  </si>
  <si>
    <t>SSHL-002T-P0.2</t>
    <phoneticPr fontId="4"/>
  </si>
  <si>
    <t>GHコネクタ　ハウジング用コンタクト</t>
    <rPh sb="12" eb="13">
      <t>ヨウ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</si>
</sst>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&quot;¥&quot;#,##0.0;[Red]&quot;¥&quot;\-#,##0.0"/>
  </numFmts>
  <fonts count="10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16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b/>
      <sz val="12"/>
      <color rgb="FFFF0000"/>
      <name val="游ゴシック"/>
      <family val="3"/>
      <charset val="128"/>
      <scheme val="minor"/>
    </font>
    <font>
      <sz val="14"/>
      <color theme="1"/>
      <name val="游ゴシック"/>
      <family val="2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Meiryo UI"/>
      <family val="3"/>
      <charset val="128"/>
    </font>
    <font>
      <sz val="1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/>
    <xf numFmtId="0" fontId="7" fillId="0" borderId="0">
      <alignment vertical="center"/>
    </xf>
    <xf numFmtId="6" fontId="2" fillId="0" borderId="0" applyFont="0" applyFill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3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2" fillId="0" borderId="0" xfId="1"/>
    <xf numFmtId="0" fontId="2" fillId="0" borderId="0" xfId="1" applyAlignment="1">
      <alignment horizontal="left"/>
    </xf>
    <xf numFmtId="0" fontId="2" fillId="0" borderId="0" xfId="1" applyAlignment="1">
      <alignment horizontal="right"/>
    </xf>
    <xf numFmtId="0" fontId="2" fillId="2" borderId="1" xfId="1" applyFill="1" applyBorder="1"/>
    <xf numFmtId="0" fontId="2" fillId="3" borderId="0" xfId="1" applyFill="1"/>
    <xf numFmtId="0" fontId="8" fillId="4" borderId="1" xfId="2" applyFont="1" applyFill="1" applyBorder="1" applyAlignment="1">
      <alignment horizontal="center" vertical="center"/>
    </xf>
    <xf numFmtId="49" fontId="8" fillId="4" borderId="1" xfId="2" applyNumberFormat="1" applyFont="1" applyFill="1" applyBorder="1" applyAlignment="1">
      <alignment horizontal="center" vertical="center"/>
    </xf>
    <xf numFmtId="0" fontId="8" fillId="4" borderId="1" xfId="2" applyFont="1" applyFill="1" applyBorder="1" applyAlignment="1">
      <alignment horizontal="left" vertical="center"/>
    </xf>
    <xf numFmtId="0" fontId="9" fillId="0" borderId="1" xfId="1" applyFont="1" applyBorder="1"/>
    <xf numFmtId="0" fontId="9" fillId="0" borderId="1" xfId="1" applyFont="1" applyBorder="1" applyAlignment="1">
      <alignment horizontal="left"/>
    </xf>
    <xf numFmtId="0" fontId="9" fillId="0" borderId="1" xfId="1" applyFont="1" applyBorder="1" applyAlignment="1">
      <alignment horizontal="right"/>
    </xf>
    <xf numFmtId="0" fontId="9" fillId="0" borderId="1" xfId="1" applyFont="1" applyBorder="1" applyAlignment="1">
      <alignment horizontal="center" vertical="center"/>
    </xf>
    <xf numFmtId="0" fontId="9" fillId="0" borderId="0" xfId="1" applyFont="1"/>
    <xf numFmtId="176" fontId="9" fillId="0" borderId="1" xfId="3" applyNumberFormat="1" applyFont="1" applyBorder="1" applyAlignment="1"/>
    <xf numFmtId="176" fontId="9" fillId="0" borderId="1" xfId="3" applyNumberFormat="1" applyFont="1" applyBorder="1" applyAlignment="1">
      <alignment horizontal="left"/>
    </xf>
    <xf numFmtId="6" fontId="9" fillId="0" borderId="1" xfId="1" applyNumberFormat="1" applyFont="1" applyBorder="1"/>
    <xf numFmtId="0" fontId="9" fillId="5" borderId="1" xfId="1" applyFont="1" applyFill="1" applyBorder="1"/>
    <xf numFmtId="0" fontId="9" fillId="5" borderId="1" xfId="1" applyFont="1" applyFill="1" applyBorder="1" applyAlignment="1">
      <alignment horizontal="left"/>
    </xf>
    <xf numFmtId="0" fontId="9" fillId="5" borderId="1" xfId="1" applyFont="1" applyFill="1" applyBorder="1" applyAlignment="1">
      <alignment horizontal="right"/>
    </xf>
    <xf numFmtId="176" fontId="9" fillId="5" borderId="1" xfId="3" applyNumberFormat="1" applyFont="1" applyFill="1" applyBorder="1" applyAlignment="1"/>
    <xf numFmtId="6" fontId="9" fillId="5" borderId="1" xfId="1" applyNumberFormat="1" applyFont="1" applyFill="1" applyBorder="1"/>
    <xf numFmtId="176" fontId="9" fillId="0" borderId="1" xfId="3" applyNumberFormat="1" applyFont="1" applyFill="1" applyBorder="1" applyAlignment="1"/>
    <xf numFmtId="14" fontId="9" fillId="0" borderId="1" xfId="1" applyNumberFormat="1" applyFont="1" applyBorder="1"/>
    <xf numFmtId="176" fontId="9" fillId="6" borderId="1" xfId="3" applyNumberFormat="1" applyFont="1" applyFill="1" applyBorder="1" applyAlignment="1"/>
    <xf numFmtId="0" fontId="9" fillId="2" borderId="1" xfId="1" applyFont="1" applyFill="1" applyBorder="1"/>
    <xf numFmtId="0" fontId="9" fillId="0" borderId="1" xfId="1" applyFont="1" applyBorder="1" applyAlignment="1">
      <alignment horizontal="left" wrapText="1"/>
    </xf>
    <xf numFmtId="0" fontId="3" fillId="0" borderId="0" xfId="1" applyFont="1" applyAlignment="1">
      <alignment horizontal="left" vertical="top"/>
    </xf>
    <xf numFmtId="14" fontId="6" fillId="0" borderId="0" xfId="1" applyNumberFormat="1" applyFont="1"/>
    <xf numFmtId="0" fontId="2" fillId="0" borderId="0" xfId="1"/>
    <xf numFmtId="0" fontId="2" fillId="0" borderId="0" xfId="1" applyAlignment="1">
      <alignment horizontal="left"/>
    </xf>
  </cellXfs>
  <cellStyles count="4">
    <cellStyle name="通貨 2" xfId="3" xr:uid="{63139973-C333-4894-BAA6-74E18B1D3249}"/>
    <cellStyle name="標準" xfId="0" builtinId="0"/>
    <cellStyle name="標準 2" xfId="1" xr:uid="{F00E4C5A-FFD3-404C-B14F-47354526D65A}"/>
    <cellStyle name="標準 3" xfId="2" xr:uid="{8B1117C2-F546-47E2-92E1-C5B67E8E3A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5A8AF-9491-450C-9B7E-BE5BE97FC31F}">
  <dimension ref="A1:U23"/>
  <sheetViews>
    <sheetView tabSelected="1" view="pageBreakPreview" zoomScale="70" zoomScaleNormal="70" zoomScaleSheetLayoutView="70" workbookViewId="0">
      <pane ySplit="4" topLeftCell="A5" activePane="bottomLeft" state="frozen"/>
      <selection pane="bottomLeft" activeCell="R2" sqref="R2"/>
    </sheetView>
  </sheetViews>
  <sheetFormatPr defaultRowHeight="18" outlineLevelRow="1" x14ac:dyDescent="0.45"/>
  <cols>
    <col min="1" max="2" width="4.5" style="4" customWidth="1"/>
    <col min="3" max="3" width="18.3984375" style="4" bestFit="1" customWidth="1"/>
    <col min="4" max="4" width="36.3984375" style="4" customWidth="1"/>
    <col min="5" max="5" width="11" style="4" bestFit="1" customWidth="1"/>
    <col min="6" max="6" width="18.3984375" style="4" bestFit="1" customWidth="1"/>
    <col min="7" max="7" width="25.69921875" style="4" bestFit="1" customWidth="1"/>
    <col min="8" max="8" width="11.3984375" style="4" bestFit="1" customWidth="1"/>
    <col min="9" max="9" width="10.19921875" style="4" customWidth="1"/>
    <col min="10" max="10" width="9.69921875" style="4" bestFit="1" customWidth="1"/>
    <col min="11" max="11" width="10.69921875" style="4" bestFit="1" customWidth="1"/>
    <col min="12" max="12" width="10.69921875" style="4" customWidth="1"/>
    <col min="13" max="13" width="10.69921875" style="4" bestFit="1" customWidth="1"/>
    <col min="14" max="14" width="21.69921875" style="4" customWidth="1"/>
    <col min="15" max="15" width="5.5" style="4" customWidth="1"/>
    <col min="16" max="16" width="13" style="4" bestFit="1" customWidth="1"/>
    <col min="17" max="17" width="11.5" style="5" customWidth="1"/>
    <col min="18" max="19" width="11.5" style="4" bestFit="1" customWidth="1"/>
    <col min="20" max="20" width="11.5" style="4" customWidth="1"/>
    <col min="21" max="21" width="13.5" style="4" bestFit="1" customWidth="1"/>
    <col min="22" max="16384" width="8.796875" style="4"/>
  </cols>
  <sheetData>
    <row r="1" spans="1:21" ht="18" customHeight="1" x14ac:dyDescent="0.45">
      <c r="A1" s="30" t="s">
        <v>66</v>
      </c>
      <c r="B1" s="30"/>
      <c r="C1" s="30"/>
      <c r="D1" s="30"/>
      <c r="E1" s="3"/>
      <c r="F1" s="2"/>
      <c r="I1" s="31">
        <v>45617</v>
      </c>
      <c r="J1" s="31"/>
      <c r="K1" s="31"/>
    </row>
    <row r="2" spans="1:21" ht="18" customHeight="1" x14ac:dyDescent="0.45">
      <c r="A2" s="30"/>
      <c r="B2" s="30"/>
      <c r="C2" s="30"/>
      <c r="D2" s="30"/>
      <c r="E2" s="2"/>
      <c r="F2" s="2"/>
      <c r="I2" s="31"/>
      <c r="J2" s="31"/>
      <c r="K2" s="31"/>
      <c r="L2" s="6" t="s">
        <v>33</v>
      </c>
      <c r="M2" s="7">
        <v>5</v>
      </c>
      <c r="R2" s="8"/>
    </row>
    <row r="3" spans="1:21" x14ac:dyDescent="0.45">
      <c r="P3" s="32"/>
      <c r="Q3" s="33"/>
      <c r="R3" s="32"/>
      <c r="S3" s="32"/>
    </row>
    <row r="4" spans="1:21" x14ac:dyDescent="0.45">
      <c r="B4" s="9" t="s">
        <v>34</v>
      </c>
      <c r="C4" s="9" t="s">
        <v>35</v>
      </c>
      <c r="D4" s="9" t="s">
        <v>36</v>
      </c>
      <c r="E4" s="9" t="s">
        <v>37</v>
      </c>
      <c r="F4" s="9" t="s">
        <v>38</v>
      </c>
      <c r="G4" s="9" t="s">
        <v>39</v>
      </c>
      <c r="H4" s="9" t="s">
        <v>40</v>
      </c>
      <c r="I4" s="10" t="s">
        <v>41</v>
      </c>
      <c r="J4" s="9" t="s">
        <v>42</v>
      </c>
      <c r="K4" s="9" t="s">
        <v>43</v>
      </c>
      <c r="L4" s="9" t="s">
        <v>44</v>
      </c>
      <c r="M4" s="9" t="s">
        <v>45</v>
      </c>
      <c r="N4" s="9" t="s">
        <v>46</v>
      </c>
      <c r="P4" s="9" t="s">
        <v>47</v>
      </c>
      <c r="Q4" s="11"/>
      <c r="R4" s="9" t="s">
        <v>48</v>
      </c>
      <c r="S4" s="9" t="s">
        <v>49</v>
      </c>
      <c r="T4" s="9" t="s">
        <v>50</v>
      </c>
      <c r="U4" s="9" t="s">
        <v>51</v>
      </c>
    </row>
    <row r="5" spans="1:21" outlineLevel="1" x14ac:dyDescent="0.45">
      <c r="B5" s="12">
        <v>1</v>
      </c>
      <c r="C5" s="12" t="s">
        <v>65</v>
      </c>
      <c r="D5" s="12" t="s">
        <v>52</v>
      </c>
      <c r="E5" s="12"/>
      <c r="F5" s="13" t="s">
        <v>68</v>
      </c>
      <c r="G5" s="12"/>
      <c r="H5" s="14"/>
      <c r="I5" s="12"/>
      <c r="J5" s="12">
        <v>1</v>
      </c>
      <c r="K5" s="12">
        <v>1</v>
      </c>
      <c r="L5" s="15" t="s">
        <v>53</v>
      </c>
      <c r="M5" s="12">
        <f>K5*$M$2</f>
        <v>5</v>
      </c>
      <c r="N5" s="12"/>
      <c r="O5" s="16"/>
      <c r="P5" s="17"/>
      <c r="Q5" s="18"/>
      <c r="R5" s="17"/>
      <c r="S5" s="12"/>
      <c r="T5" s="19"/>
      <c r="U5" s="12"/>
    </row>
    <row r="6" spans="1:21" outlineLevel="1" x14ac:dyDescent="0.45">
      <c r="B6" s="12">
        <v>2</v>
      </c>
      <c r="C6" s="12" t="s">
        <v>65</v>
      </c>
      <c r="D6" s="12" t="s">
        <v>54</v>
      </c>
      <c r="E6" s="12"/>
      <c r="F6" s="13" t="s">
        <v>67</v>
      </c>
      <c r="G6" s="12"/>
      <c r="H6" s="14"/>
      <c r="I6" s="12"/>
      <c r="J6" s="12">
        <v>1</v>
      </c>
      <c r="K6" s="12">
        <v>1</v>
      </c>
      <c r="L6" s="15" t="s">
        <v>53</v>
      </c>
      <c r="M6" s="12">
        <f>K6*$M$2</f>
        <v>5</v>
      </c>
      <c r="N6" s="12"/>
      <c r="O6" s="16"/>
      <c r="P6" s="17"/>
      <c r="Q6" s="18"/>
      <c r="R6" s="17"/>
      <c r="S6" s="19"/>
      <c r="T6" s="19"/>
      <c r="U6" s="12"/>
    </row>
    <row r="7" spans="1:21" x14ac:dyDescent="0.45">
      <c r="B7" s="20"/>
      <c r="C7" s="20"/>
      <c r="D7" s="20"/>
      <c r="E7" s="20"/>
      <c r="F7" s="21"/>
      <c r="G7" s="20"/>
      <c r="H7" s="22"/>
      <c r="I7" s="20"/>
      <c r="J7" s="20"/>
      <c r="K7" s="20"/>
      <c r="L7" s="20"/>
      <c r="M7" s="20"/>
      <c r="N7" s="20"/>
      <c r="O7" s="16"/>
      <c r="P7" s="20"/>
      <c r="Q7" s="20"/>
      <c r="R7" s="23"/>
      <c r="S7" s="24"/>
      <c r="T7" s="24"/>
      <c r="U7" s="20"/>
    </row>
    <row r="8" spans="1:21" outlineLevel="1" x14ac:dyDescent="0.45">
      <c r="B8" s="12">
        <v>3</v>
      </c>
      <c r="C8" s="12" t="s">
        <v>68</v>
      </c>
      <c r="D8" s="12" t="s">
        <v>55</v>
      </c>
      <c r="E8" s="12"/>
      <c r="F8" s="13"/>
      <c r="G8" s="13" t="s">
        <v>56</v>
      </c>
      <c r="H8" s="14"/>
      <c r="I8" s="12"/>
      <c r="J8" s="12">
        <v>1</v>
      </c>
      <c r="K8" s="12">
        <v>4</v>
      </c>
      <c r="L8" s="15" t="s">
        <v>53</v>
      </c>
      <c r="M8" s="12">
        <f t="shared" ref="M8:M12" si="0">K8*$M$2</f>
        <v>20</v>
      </c>
      <c r="N8" s="12"/>
      <c r="O8" s="16"/>
      <c r="P8" s="13"/>
      <c r="Q8" s="13"/>
      <c r="R8" s="25"/>
      <c r="S8" s="19"/>
      <c r="T8" s="19"/>
      <c r="U8" s="12"/>
    </row>
    <row r="9" spans="1:21" outlineLevel="1" x14ac:dyDescent="0.45">
      <c r="B9" s="12">
        <v>4</v>
      </c>
      <c r="C9" s="12" t="s">
        <v>68</v>
      </c>
      <c r="D9" s="12" t="s">
        <v>58</v>
      </c>
      <c r="E9" s="12"/>
      <c r="F9" s="13" t="s">
        <v>71</v>
      </c>
      <c r="G9" s="13" t="s">
        <v>59</v>
      </c>
      <c r="H9" s="14"/>
      <c r="I9" s="12"/>
      <c r="J9" s="12">
        <v>4</v>
      </c>
      <c r="K9" s="12">
        <v>4</v>
      </c>
      <c r="L9" s="15" t="s">
        <v>53</v>
      </c>
      <c r="M9" s="12">
        <f t="shared" si="0"/>
        <v>20</v>
      </c>
      <c r="N9" s="12"/>
      <c r="O9" s="16"/>
      <c r="P9" s="13"/>
      <c r="Q9" s="13"/>
      <c r="R9" s="25"/>
      <c r="S9" s="19"/>
      <c r="T9" s="26"/>
      <c r="U9" s="26"/>
    </row>
    <row r="10" spans="1:21" outlineLevel="1" x14ac:dyDescent="0.45">
      <c r="B10" s="12">
        <v>5</v>
      </c>
      <c r="C10" s="12" t="s">
        <v>68</v>
      </c>
      <c r="D10" s="12" t="s">
        <v>72</v>
      </c>
      <c r="E10" s="12"/>
      <c r="F10" s="13"/>
      <c r="G10" s="13"/>
      <c r="H10" s="14"/>
      <c r="I10" s="12"/>
      <c r="J10" s="12"/>
      <c r="K10" s="12">
        <v>4</v>
      </c>
      <c r="L10" s="15" t="s">
        <v>53</v>
      </c>
      <c r="M10" s="12">
        <f t="shared" ref="M10" si="1">K10*$M$2</f>
        <v>20</v>
      </c>
      <c r="N10" s="12"/>
      <c r="O10" s="16"/>
      <c r="P10" s="13"/>
      <c r="Q10" s="13"/>
      <c r="R10" s="25"/>
      <c r="S10" s="19"/>
      <c r="T10" s="26"/>
      <c r="U10" s="26"/>
    </row>
    <row r="11" spans="1:21" outlineLevel="1" x14ac:dyDescent="0.45">
      <c r="B11" s="12">
        <v>6</v>
      </c>
      <c r="C11" s="12" t="s">
        <v>68</v>
      </c>
      <c r="D11" s="12" t="s">
        <v>80</v>
      </c>
      <c r="E11" s="12"/>
      <c r="F11" s="29" t="s">
        <v>81</v>
      </c>
      <c r="G11" s="12" t="s">
        <v>60</v>
      </c>
      <c r="H11" s="14"/>
      <c r="I11" s="12"/>
      <c r="J11" s="12">
        <v>1</v>
      </c>
      <c r="K11" s="12">
        <v>1</v>
      </c>
      <c r="L11" s="15" t="s">
        <v>53</v>
      </c>
      <c r="M11" s="12">
        <f t="shared" si="0"/>
        <v>5</v>
      </c>
      <c r="N11" s="12"/>
      <c r="O11" s="16"/>
      <c r="P11" s="12"/>
      <c r="Q11" s="13"/>
      <c r="R11" s="25"/>
      <c r="S11" s="19"/>
      <c r="T11" s="19"/>
      <c r="U11" s="12"/>
    </row>
    <row r="12" spans="1:21" outlineLevel="1" x14ac:dyDescent="0.45">
      <c r="B12" s="12">
        <v>7</v>
      </c>
      <c r="C12" s="12" t="s">
        <v>68</v>
      </c>
      <c r="D12" s="12" t="s">
        <v>83</v>
      </c>
      <c r="E12" s="12"/>
      <c r="F12" s="13" t="s">
        <v>82</v>
      </c>
      <c r="G12" s="12" t="s">
        <v>60</v>
      </c>
      <c r="H12" s="14"/>
      <c r="I12" s="12"/>
      <c r="J12" s="12">
        <v>35</v>
      </c>
      <c r="K12" s="12">
        <v>3</v>
      </c>
      <c r="L12" s="15" t="s">
        <v>53</v>
      </c>
      <c r="M12" s="12">
        <f t="shared" si="0"/>
        <v>15</v>
      </c>
      <c r="N12" s="12"/>
      <c r="O12" s="16"/>
      <c r="P12" s="12"/>
      <c r="Q12" s="13"/>
      <c r="R12" s="25"/>
      <c r="S12" s="19"/>
      <c r="T12" s="19"/>
      <c r="U12" s="12"/>
    </row>
    <row r="13" spans="1:21" x14ac:dyDescent="0.45">
      <c r="B13" s="20"/>
      <c r="C13" s="20"/>
      <c r="D13" s="20"/>
      <c r="E13" s="20"/>
      <c r="F13" s="21"/>
      <c r="G13" s="20"/>
      <c r="H13" s="22"/>
      <c r="I13" s="20"/>
      <c r="J13" s="20"/>
      <c r="K13" s="20"/>
      <c r="L13" s="20"/>
      <c r="M13" s="20"/>
      <c r="N13" s="20"/>
      <c r="O13" s="16"/>
      <c r="P13" s="20"/>
      <c r="Q13" s="20"/>
      <c r="R13" s="23"/>
      <c r="S13" s="24"/>
      <c r="T13" s="24"/>
      <c r="U13" s="20"/>
    </row>
    <row r="14" spans="1:21" x14ac:dyDescent="0.45">
      <c r="B14" s="12">
        <v>7</v>
      </c>
      <c r="C14" s="12" t="s">
        <v>69</v>
      </c>
      <c r="D14" s="12" t="s">
        <v>70</v>
      </c>
      <c r="E14" s="12"/>
      <c r="F14" s="13"/>
      <c r="G14" s="13" t="s">
        <v>57</v>
      </c>
      <c r="H14" s="14"/>
      <c r="I14" s="12"/>
      <c r="J14" s="12">
        <v>1</v>
      </c>
      <c r="K14" s="12">
        <v>0</v>
      </c>
      <c r="L14" s="15" t="s">
        <v>53</v>
      </c>
      <c r="M14" s="12">
        <v>0</v>
      </c>
      <c r="N14" s="12"/>
      <c r="O14" s="16"/>
      <c r="P14" s="12"/>
      <c r="Q14" s="12"/>
      <c r="R14" s="17"/>
      <c r="S14" s="19"/>
      <c r="T14" s="19"/>
      <c r="U14" s="12"/>
    </row>
    <row r="15" spans="1:21" x14ac:dyDescent="0.45">
      <c r="B15" s="12">
        <v>8</v>
      </c>
      <c r="C15" s="12" t="s">
        <v>69</v>
      </c>
      <c r="D15" s="12" t="s">
        <v>61</v>
      </c>
      <c r="E15" s="12"/>
      <c r="F15" s="13" t="s">
        <v>62</v>
      </c>
      <c r="G15" s="12" t="s">
        <v>63</v>
      </c>
      <c r="H15" s="14"/>
      <c r="I15" s="12"/>
      <c r="J15" s="12">
        <v>1</v>
      </c>
      <c r="K15" s="12">
        <v>1</v>
      </c>
      <c r="L15" s="15" t="s">
        <v>53</v>
      </c>
      <c r="M15" s="12">
        <f t="shared" ref="M15:M22" si="2">K15*$M$2</f>
        <v>5</v>
      </c>
      <c r="N15" s="12"/>
      <c r="O15" s="16"/>
      <c r="P15" s="12"/>
      <c r="Q15" s="13"/>
      <c r="R15" s="27"/>
      <c r="S15" s="19"/>
      <c r="T15" s="19"/>
      <c r="U15" s="12"/>
    </row>
    <row r="16" spans="1:21" x14ac:dyDescent="0.45">
      <c r="B16" s="12">
        <v>9</v>
      </c>
      <c r="C16" s="12" t="s">
        <v>69</v>
      </c>
      <c r="D16" s="12" t="s">
        <v>64</v>
      </c>
      <c r="E16" s="12" t="s">
        <v>14</v>
      </c>
      <c r="F16" s="13"/>
      <c r="G16" s="12"/>
      <c r="H16" s="13" t="s">
        <v>73</v>
      </c>
      <c r="I16" s="13">
        <v>2012</v>
      </c>
      <c r="J16" s="12">
        <v>1</v>
      </c>
      <c r="K16" s="12">
        <v>1</v>
      </c>
      <c r="L16" s="15" t="s">
        <v>53</v>
      </c>
      <c r="M16" s="12">
        <f t="shared" si="2"/>
        <v>5</v>
      </c>
      <c r="N16" s="28"/>
      <c r="O16" s="16"/>
      <c r="P16" s="12"/>
      <c r="Q16" s="13"/>
      <c r="R16" s="27"/>
      <c r="S16" s="19"/>
      <c r="T16" s="26"/>
      <c r="U16" s="12"/>
    </row>
    <row r="17" spans="2:21" x14ac:dyDescent="0.45">
      <c r="B17" s="12">
        <v>10</v>
      </c>
      <c r="C17" s="12" t="s">
        <v>69</v>
      </c>
      <c r="D17" s="12" t="s">
        <v>79</v>
      </c>
      <c r="E17" s="12" t="s">
        <v>16</v>
      </c>
      <c r="F17" s="13" t="s">
        <v>78</v>
      </c>
      <c r="G17" s="12" t="s">
        <v>3</v>
      </c>
      <c r="H17" s="13"/>
      <c r="I17" s="13"/>
      <c r="J17" s="12">
        <v>1</v>
      </c>
      <c r="K17" s="12">
        <v>1</v>
      </c>
      <c r="L17" s="15" t="s">
        <v>53</v>
      </c>
      <c r="M17" s="12">
        <f t="shared" si="2"/>
        <v>5</v>
      </c>
      <c r="N17" s="12"/>
      <c r="O17" s="16"/>
      <c r="P17" s="12"/>
      <c r="Q17" s="12"/>
      <c r="R17" s="25"/>
      <c r="S17" s="19"/>
      <c r="T17" s="19"/>
      <c r="U17" s="12"/>
    </row>
    <row r="18" spans="2:21" x14ac:dyDescent="0.45">
      <c r="B18" s="12">
        <v>11</v>
      </c>
      <c r="C18" s="12" t="s">
        <v>69</v>
      </c>
      <c r="D18" s="12" t="s">
        <v>74</v>
      </c>
      <c r="E18" s="12" t="s">
        <v>9</v>
      </c>
      <c r="F18" s="13" t="s">
        <v>19</v>
      </c>
      <c r="G18" s="12" t="s">
        <v>21</v>
      </c>
      <c r="H18" s="13"/>
      <c r="I18" s="13">
        <v>3216</v>
      </c>
      <c r="J18" s="12">
        <v>1</v>
      </c>
      <c r="K18" s="12">
        <v>1</v>
      </c>
      <c r="L18" s="15" t="s">
        <v>53</v>
      </c>
      <c r="M18" s="12">
        <f t="shared" si="2"/>
        <v>5</v>
      </c>
      <c r="N18" s="12"/>
      <c r="O18" s="16"/>
      <c r="P18" s="12"/>
      <c r="Q18" s="13"/>
      <c r="R18" s="17"/>
      <c r="S18" s="19"/>
      <c r="T18" s="26"/>
      <c r="U18" s="12"/>
    </row>
    <row r="19" spans="2:21" x14ac:dyDescent="0.45">
      <c r="B19" s="12">
        <v>12</v>
      </c>
      <c r="C19" s="12" t="s">
        <v>69</v>
      </c>
      <c r="D19" s="12" t="s">
        <v>75</v>
      </c>
      <c r="E19" s="12" t="s">
        <v>22</v>
      </c>
      <c r="F19" s="13" t="s">
        <v>23</v>
      </c>
      <c r="G19" s="12" t="s">
        <v>25</v>
      </c>
      <c r="H19" s="13"/>
      <c r="I19" s="13"/>
      <c r="J19" s="12">
        <v>1</v>
      </c>
      <c r="K19" s="12">
        <v>1</v>
      </c>
      <c r="L19" s="15" t="s">
        <v>53</v>
      </c>
      <c r="M19" s="12">
        <f t="shared" si="2"/>
        <v>5</v>
      </c>
      <c r="N19" s="12"/>
      <c r="O19" s="16"/>
      <c r="P19" s="12"/>
      <c r="Q19" s="12"/>
      <c r="R19" s="12"/>
      <c r="S19" s="19"/>
      <c r="T19" s="19"/>
      <c r="U19" s="12"/>
    </row>
    <row r="20" spans="2:21" x14ac:dyDescent="0.45">
      <c r="B20" s="12">
        <v>13</v>
      </c>
      <c r="C20" s="12" t="s">
        <v>69</v>
      </c>
      <c r="D20" s="12" t="s">
        <v>76</v>
      </c>
      <c r="E20" s="12" t="s">
        <v>26</v>
      </c>
      <c r="F20" s="13"/>
      <c r="G20" s="12"/>
      <c r="H20" s="13" t="s">
        <v>2</v>
      </c>
      <c r="I20" s="13">
        <v>2012</v>
      </c>
      <c r="J20" s="12">
        <v>1</v>
      </c>
      <c r="K20" s="12">
        <v>1</v>
      </c>
      <c r="L20" s="15" t="s">
        <v>53</v>
      </c>
      <c r="M20" s="12">
        <f t="shared" si="2"/>
        <v>5</v>
      </c>
      <c r="N20" s="12"/>
      <c r="O20" s="16"/>
      <c r="P20" s="12"/>
      <c r="Q20" s="12"/>
      <c r="R20" s="12"/>
      <c r="S20" s="19"/>
      <c r="T20" s="19"/>
      <c r="U20" s="12"/>
    </row>
    <row r="21" spans="2:21" x14ac:dyDescent="0.45">
      <c r="B21" s="12">
        <v>14</v>
      </c>
      <c r="C21" s="12" t="s">
        <v>69</v>
      </c>
      <c r="D21" s="12" t="s">
        <v>76</v>
      </c>
      <c r="E21" s="12" t="s">
        <v>28</v>
      </c>
      <c r="F21" s="13"/>
      <c r="G21" s="12"/>
      <c r="H21" s="13" t="s">
        <v>29</v>
      </c>
      <c r="I21" s="13">
        <v>2012</v>
      </c>
      <c r="J21" s="12">
        <v>1</v>
      </c>
      <c r="K21" s="12">
        <v>1</v>
      </c>
      <c r="L21" s="15" t="s">
        <v>53</v>
      </c>
      <c r="M21" s="12">
        <f t="shared" si="2"/>
        <v>5</v>
      </c>
      <c r="N21" s="12"/>
      <c r="O21" s="16"/>
      <c r="P21" s="12"/>
      <c r="Q21" s="12"/>
      <c r="R21" s="12"/>
      <c r="S21" s="19"/>
      <c r="T21" s="19"/>
      <c r="U21" s="12"/>
    </row>
    <row r="22" spans="2:21" x14ac:dyDescent="0.45">
      <c r="B22" s="12">
        <v>15</v>
      </c>
      <c r="C22" s="12" t="s">
        <v>69</v>
      </c>
      <c r="D22" s="12" t="s">
        <v>77</v>
      </c>
      <c r="E22" s="12" t="s">
        <v>4</v>
      </c>
      <c r="F22" s="13" t="s">
        <v>30</v>
      </c>
      <c r="G22" s="12" t="s">
        <v>32</v>
      </c>
      <c r="H22" s="13"/>
      <c r="I22" s="13">
        <v>2012</v>
      </c>
      <c r="J22" s="12">
        <v>1</v>
      </c>
      <c r="K22" s="12">
        <v>1</v>
      </c>
      <c r="L22" s="15" t="s">
        <v>53</v>
      </c>
      <c r="M22" s="12">
        <f t="shared" si="2"/>
        <v>5</v>
      </c>
      <c r="N22" s="12"/>
      <c r="O22" s="16"/>
      <c r="P22" s="12"/>
      <c r="Q22" s="13"/>
      <c r="R22" s="17"/>
      <c r="S22" s="19"/>
      <c r="T22" s="26"/>
      <c r="U22" s="12"/>
    </row>
    <row r="23" spans="2:21" x14ac:dyDescent="0.45">
      <c r="B23" s="12"/>
      <c r="C23" s="12"/>
      <c r="D23" s="12"/>
      <c r="E23" s="12"/>
      <c r="F23" s="13"/>
      <c r="G23" s="12"/>
      <c r="H23" s="13"/>
      <c r="I23" s="13"/>
      <c r="J23" s="12"/>
      <c r="K23" s="12"/>
      <c r="L23" s="15"/>
      <c r="M23" s="12"/>
      <c r="N23" s="12"/>
      <c r="O23" s="16"/>
      <c r="P23" s="12"/>
      <c r="Q23" s="13"/>
      <c r="R23" s="17"/>
      <c r="S23" s="19"/>
      <c r="T23" s="26"/>
      <c r="U23" s="12"/>
    </row>
  </sheetData>
  <autoFilter ref="A4:U23" xr:uid="{00000000-0001-0000-0000-000000000000}"/>
  <mergeCells count="3">
    <mergeCell ref="A1:D2"/>
    <mergeCell ref="I1:K2"/>
    <mergeCell ref="P3:S3"/>
  </mergeCells>
  <phoneticPr fontId="1"/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89C83-476A-4232-92F7-9193CDD78526}">
  <dimension ref="B2:I15"/>
  <sheetViews>
    <sheetView workbookViewId="0">
      <selection activeCell="B3" sqref="B3:B9"/>
    </sheetView>
  </sheetViews>
  <sheetFormatPr defaultRowHeight="18" x14ac:dyDescent="0.45"/>
  <cols>
    <col min="2" max="2" width="5.19921875" bestFit="1" customWidth="1"/>
    <col min="3" max="3" width="11.19921875" customWidth="1"/>
    <col min="4" max="4" width="22.5" bestFit="1" customWidth="1"/>
    <col min="5" max="5" width="14" customWidth="1"/>
    <col min="6" max="6" width="11.59765625" customWidth="1"/>
    <col min="7" max="7" width="11.296875" customWidth="1"/>
    <col min="8" max="8" width="25.59765625" customWidth="1"/>
  </cols>
  <sheetData>
    <row r="2" spans="2:9" x14ac:dyDescent="0.45">
      <c r="B2" t="s">
        <v>10</v>
      </c>
      <c r="C2" t="s">
        <v>5</v>
      </c>
      <c r="D2" t="s">
        <v>6</v>
      </c>
      <c r="E2" t="s">
        <v>11</v>
      </c>
      <c r="F2" t="s">
        <v>12</v>
      </c>
      <c r="G2" t="s">
        <v>13</v>
      </c>
      <c r="H2" t="s">
        <v>7</v>
      </c>
      <c r="I2" t="s">
        <v>8</v>
      </c>
    </row>
    <row r="3" spans="2:9" x14ac:dyDescent="0.45">
      <c r="B3" t="s">
        <v>14</v>
      </c>
      <c r="C3">
        <v>1</v>
      </c>
      <c r="D3" t="s">
        <v>0</v>
      </c>
      <c r="H3" t="s">
        <v>15</v>
      </c>
    </row>
    <row r="4" spans="2:9" x14ac:dyDescent="0.45">
      <c r="B4" t="s">
        <v>16</v>
      </c>
      <c r="C4">
        <v>1</v>
      </c>
      <c r="D4" t="s">
        <v>17</v>
      </c>
      <c r="H4" t="s">
        <v>18</v>
      </c>
      <c r="I4" t="s">
        <v>3</v>
      </c>
    </row>
    <row r="5" spans="2:9" x14ac:dyDescent="0.45">
      <c r="B5" t="s">
        <v>9</v>
      </c>
      <c r="C5">
        <v>1</v>
      </c>
      <c r="D5" t="s">
        <v>19</v>
      </c>
      <c r="H5" t="s">
        <v>20</v>
      </c>
      <c r="I5" t="s">
        <v>21</v>
      </c>
    </row>
    <row r="6" spans="2:9" x14ac:dyDescent="0.45">
      <c r="B6" t="s">
        <v>22</v>
      </c>
      <c r="C6">
        <v>1</v>
      </c>
      <c r="D6" t="s">
        <v>23</v>
      </c>
      <c r="H6" t="s">
        <v>24</v>
      </c>
      <c r="I6" t="s">
        <v>25</v>
      </c>
    </row>
    <row r="7" spans="2:9" x14ac:dyDescent="0.45">
      <c r="B7" t="s">
        <v>26</v>
      </c>
      <c r="C7">
        <v>1</v>
      </c>
      <c r="D7" t="s">
        <v>2</v>
      </c>
      <c r="H7" t="s">
        <v>27</v>
      </c>
      <c r="I7" t="s">
        <v>1</v>
      </c>
    </row>
    <row r="8" spans="2:9" x14ac:dyDescent="0.45">
      <c r="B8" t="s">
        <v>28</v>
      </c>
      <c r="C8">
        <v>1</v>
      </c>
      <c r="D8" t="s">
        <v>29</v>
      </c>
      <c r="H8" t="s">
        <v>27</v>
      </c>
      <c r="I8" t="s">
        <v>1</v>
      </c>
    </row>
    <row r="9" spans="2:9" x14ac:dyDescent="0.45">
      <c r="B9" t="s">
        <v>4</v>
      </c>
      <c r="C9">
        <v>1</v>
      </c>
      <c r="D9" t="s">
        <v>30</v>
      </c>
      <c r="H9" t="s">
        <v>31</v>
      </c>
      <c r="I9" t="s">
        <v>32</v>
      </c>
    </row>
    <row r="10" spans="2:9" x14ac:dyDescent="0.45">
      <c r="B10" s="1"/>
      <c r="C10" s="1"/>
      <c r="D10" s="1"/>
      <c r="E10" s="1"/>
      <c r="F10" s="1"/>
      <c r="G10" s="1"/>
    </row>
    <row r="11" spans="2:9" x14ac:dyDescent="0.45">
      <c r="B11" s="1"/>
      <c r="C11" s="1"/>
      <c r="D11" s="1"/>
      <c r="E11" s="1"/>
      <c r="F11" s="1"/>
      <c r="G11" s="1"/>
    </row>
    <row r="12" spans="2:9" x14ac:dyDescent="0.45">
      <c r="B12" s="1"/>
      <c r="C12" s="1"/>
      <c r="D12" s="1"/>
      <c r="E12" s="1"/>
      <c r="F12" s="1"/>
      <c r="G12" s="1"/>
    </row>
    <row r="13" spans="2:9" x14ac:dyDescent="0.45">
      <c r="B13" s="1"/>
      <c r="C13" s="1"/>
      <c r="D13" s="1"/>
      <c r="E13" s="1"/>
      <c r="F13" s="1"/>
      <c r="G13" s="1"/>
    </row>
    <row r="14" spans="2:9" x14ac:dyDescent="0.45">
      <c r="B14" s="1"/>
      <c r="C14" s="1"/>
      <c r="D14" s="1"/>
      <c r="E14" s="1"/>
      <c r="F14" s="1"/>
      <c r="G14" s="1"/>
    </row>
    <row r="15" spans="2:9" x14ac:dyDescent="0.45">
      <c r="B15" s="1"/>
      <c r="C15" s="1"/>
      <c r="D15" s="1"/>
      <c r="E15" s="1"/>
      <c r="F15" s="1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REV1</vt:lpstr>
      <vt:lpstr>CSV貼付け用</vt:lpstr>
      <vt:lpstr>'REV1'!Print_Area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2021jssb</dc:creator>
  <cp:lastModifiedBy>Masayuki Arai</cp:lastModifiedBy>
  <cp:lastPrinted>2025-05-28T05:45:12Z</cp:lastPrinted>
  <dcterms:created xsi:type="dcterms:W3CDTF">2023-01-18T04:57:10Z</dcterms:created>
  <dcterms:modified xsi:type="dcterms:W3CDTF">2026-08-17T12:49:21Z</dcterms:modified>
</cp:coreProperties>
</file>